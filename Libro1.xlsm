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studiante\Desktop\"/>
    </mc:Choice>
  </mc:AlternateContent>
  <bookViews>
    <workbookView xWindow="0" yWindow="0" windowWidth="19200" windowHeight="7050" activeTab="3"/>
  </bookViews>
  <sheets>
    <sheet name="Hoja1" sheetId="1" r:id="rId1"/>
    <sheet name="Hoja2" sheetId="2" r:id="rId2"/>
    <sheet name="Hoja3" sheetId="4" r:id="rId3"/>
    <sheet name="Hoja4" sheetId="5" r:id="rId4"/>
    <sheet name="Hoja5" sheetId="6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4" i="5" l="1"/>
  <c r="M13" i="5"/>
  <c r="I11" i="5"/>
  <c r="M11" i="5"/>
  <c r="M10" i="5"/>
  <c r="M9" i="5"/>
  <c r="M8" i="5"/>
  <c r="P6" i="4"/>
  <c r="O6" i="4"/>
  <c r="N6" i="4"/>
  <c r="M6" i="4"/>
  <c r="K7" i="4"/>
  <c r="K8" i="4" l="1"/>
  <c r="K9" i="4" l="1"/>
  <c r="K10" i="4"/>
  <c r="K11" i="4"/>
  <c r="K12" i="4"/>
  <c r="K13" i="4" l="1"/>
  <c r="K14" i="4"/>
  <c r="K15" i="4"/>
  <c r="K16" i="4"/>
  <c r="K17" i="4"/>
  <c r="K18" i="4"/>
  <c r="K19" i="4"/>
  <c r="I18" i="5" l="1"/>
  <c r="I21" i="5" s="1"/>
</calcChain>
</file>

<file path=xl/sharedStrings.xml><?xml version="1.0" encoding="utf-8"?>
<sst xmlns="http://schemas.openxmlformats.org/spreadsheetml/2006/main" count="55" uniqueCount="40">
  <si>
    <t xml:space="preserve"> </t>
  </si>
  <si>
    <t>REGISTRO</t>
  </si>
  <si>
    <t xml:space="preserve">OBJETO VENDIDO </t>
  </si>
  <si>
    <t xml:space="preserve">CANTIDAD VENDIDA </t>
  </si>
  <si>
    <r>
      <rPr>
        <sz val="11"/>
        <color theme="1"/>
        <rFont val="Arial Black"/>
        <family val="2"/>
      </rPr>
      <t xml:space="preserve">VALOR UNITARIO </t>
    </r>
    <r>
      <rPr>
        <sz val="11"/>
        <color rgb="FFCC99FF"/>
        <rFont val="Arial Black"/>
        <family val="2"/>
      </rPr>
      <t xml:space="preserve"> </t>
    </r>
  </si>
  <si>
    <t>GRUPO DE VENTA</t>
  </si>
  <si>
    <t>DATOS INGRESO</t>
  </si>
  <si>
    <t>VALOR UNITARIO</t>
  </si>
  <si>
    <t xml:space="preserve">GRUPO DE VENTA </t>
  </si>
  <si>
    <t xml:space="preserve">CANTIDAD </t>
  </si>
  <si>
    <t>VENTAS TOTALES</t>
  </si>
  <si>
    <t>GRUPO 1</t>
  </si>
  <si>
    <t>GRUPO 2</t>
  </si>
  <si>
    <t>GRUPO 3</t>
  </si>
  <si>
    <t>GRUPO 4</t>
  </si>
  <si>
    <t xml:space="preserve">PRECIO NETO </t>
  </si>
  <si>
    <t>Celular</t>
  </si>
  <si>
    <t>Nintendo</t>
  </si>
  <si>
    <t>REPORTE</t>
  </si>
  <si>
    <t>GRAFICO VENTAS</t>
  </si>
  <si>
    <t>Audifonos</t>
  </si>
  <si>
    <t xml:space="preserve">MI COMPAÑIA </t>
  </si>
  <si>
    <t>BONIFICACION</t>
  </si>
  <si>
    <t>TOTAL DE VENTAS</t>
  </si>
  <si>
    <t>BENEFICIO POR PERSONA</t>
  </si>
  <si>
    <t xml:space="preserve">Nevera </t>
  </si>
  <si>
    <t>Lavadora</t>
  </si>
  <si>
    <t>BENFICIO DADO</t>
  </si>
  <si>
    <t xml:space="preserve">VENTA GANADORA </t>
  </si>
  <si>
    <t xml:space="preserve">GRUPO GANADOR </t>
  </si>
  <si>
    <t>Fritadora</t>
  </si>
  <si>
    <t>Computador</t>
  </si>
  <si>
    <t xml:space="preserve">TOTAL </t>
  </si>
  <si>
    <t xml:space="preserve">NOMINA </t>
  </si>
  <si>
    <t>EMPLEAD 1</t>
  </si>
  <si>
    <t>EMPLEAD 2</t>
  </si>
  <si>
    <t>EMPLEAD 3</t>
  </si>
  <si>
    <t xml:space="preserve">TOTAL DE NOMINA </t>
  </si>
  <si>
    <t xml:space="preserve">GRUPO 2 </t>
  </si>
  <si>
    <t>TOTAL VENTAS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</si>
</sst>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 Black"/>
      <family val="2"/>
    </font>
    <font>
      <sz val="18"/>
      <color theme="1"/>
      <name val="Arial Black"/>
      <family val="2"/>
    </font>
    <font>
      <sz val="20"/>
      <color theme="1"/>
      <name val="Arial Black"/>
      <family val="2"/>
    </font>
    <font>
      <sz val="20"/>
      <color theme="1"/>
      <name val="Bodoni MT Black"/>
      <family val="1"/>
    </font>
    <font>
      <sz val="16"/>
      <color theme="1"/>
      <name val="Arial Black"/>
      <family val="2"/>
    </font>
    <font>
      <sz val="10"/>
      <color theme="1"/>
      <name val="Arial Black"/>
      <family val="2"/>
    </font>
    <font>
      <sz val="11"/>
      <color rgb="FFCC99FF"/>
      <name val="Arial Black"/>
      <family val="2"/>
    </font>
    <font>
      <sz val="11"/>
      <color rgb="FFCC99FF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Arial Black"/>
      <family val="2"/>
    </font>
    <font>
      <sz val="20"/>
      <color theme="0"/>
      <name val="Arial Black"/>
      <family val="2"/>
    </font>
    <font>
      <sz val="18"/>
      <color theme="0"/>
      <name val="Calibri"/>
      <family val="2"/>
      <scheme val="minor"/>
    </font>
    <font>
      <sz val="14"/>
      <name val="Arial Black"/>
      <family val="2"/>
    </font>
  </fonts>
  <fills count="11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F89"/>
        <bgColor indexed="64"/>
      </patternFill>
    </fill>
    <fill>
      <patternFill patternType="solid">
        <fgColor rgb="FFC0C0F8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F4AC9E"/>
        <bgColor indexed="64"/>
      </patternFill>
    </fill>
    <fill>
      <patternFill patternType="solid">
        <fgColor rgb="FFFFABC7"/>
        <bgColor indexed="64"/>
      </patternFill>
    </fill>
    <fill>
      <patternFill patternType="solid">
        <fgColor rgb="FFE8D1FF"/>
        <bgColor indexed="64"/>
      </patternFill>
    </fill>
    <fill>
      <patternFill patternType="solid">
        <fgColor rgb="FF69FFB4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3" borderId="0" xfId="0" applyFill="1" applyAlignment="1">
      <alignment horizontal="center"/>
    </xf>
    <xf numFmtId="0" fontId="5" fillId="3" borderId="0" xfId="0" applyFont="1" applyFill="1" applyAlignment="1">
      <alignment horizontal="center"/>
    </xf>
    <xf numFmtId="0" fontId="5" fillId="3" borderId="0" xfId="0" applyFont="1" applyFill="1" applyAlignment="1"/>
    <xf numFmtId="0" fontId="0" fillId="3" borderId="0" xfId="0" applyFill="1" applyAlignment="1"/>
    <xf numFmtId="0" fontId="6" fillId="3" borderId="0" xfId="0" applyFont="1" applyFill="1" applyAlignment="1"/>
    <xf numFmtId="0" fontId="0" fillId="5" borderId="0" xfId="0" applyFill="1"/>
    <xf numFmtId="0" fontId="0" fillId="6" borderId="0" xfId="0" applyFill="1"/>
    <xf numFmtId="0" fontId="1" fillId="6" borderId="0" xfId="0" applyFont="1" applyFill="1"/>
    <xf numFmtId="0" fontId="2" fillId="0" borderId="0" xfId="0" applyFont="1"/>
    <xf numFmtId="0" fontId="4" fillId="7" borderId="0" xfId="0" applyFont="1" applyFill="1" applyAlignment="1"/>
    <xf numFmtId="0" fontId="0" fillId="7" borderId="0" xfId="0" applyFill="1" applyAlignment="1"/>
    <xf numFmtId="0" fontId="0" fillId="7" borderId="0" xfId="0" applyFill="1" applyBorder="1" applyAlignment="1"/>
    <xf numFmtId="0" fontId="0" fillId="7" borderId="0" xfId="0" applyFill="1"/>
    <xf numFmtId="0" fontId="0" fillId="7" borderId="0" xfId="0" applyFill="1" applyAlignment="1">
      <alignment horizontal="center"/>
    </xf>
    <xf numFmtId="0" fontId="7" fillId="7" borderId="0" xfId="0" applyFont="1" applyFill="1" applyAlignment="1">
      <alignment horizontal="center"/>
    </xf>
    <xf numFmtId="0" fontId="0" fillId="8" borderId="0" xfId="0" applyFill="1"/>
    <xf numFmtId="0" fontId="3" fillId="3" borderId="0" xfId="0" applyFont="1" applyFill="1"/>
    <xf numFmtId="0" fontId="0" fillId="9" borderId="0" xfId="0" applyFill="1"/>
    <xf numFmtId="0" fontId="14" fillId="9" borderId="0" xfId="0" applyFont="1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10" borderId="0" xfId="0" applyFill="1"/>
    <xf numFmtId="0" fontId="0" fillId="3" borderId="0" xfId="0" applyFill="1" applyAlignment="1">
      <alignment horizontal="center"/>
    </xf>
    <xf numFmtId="0" fontId="0" fillId="2" borderId="1" xfId="0" applyFill="1" applyBorder="1"/>
    <xf numFmtId="0" fontId="0" fillId="10" borderId="1" xfId="0" applyFill="1" applyBorder="1"/>
    <xf numFmtId="0" fontId="0" fillId="10" borderId="0" xfId="0" applyFill="1" applyBorder="1"/>
    <xf numFmtId="0" fontId="3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9" fillId="6" borderId="2" xfId="0" applyFont="1" applyFill="1" applyBorder="1" applyAlignment="1">
      <alignment horizontal="center"/>
    </xf>
    <xf numFmtId="0" fontId="10" fillId="6" borderId="2" xfId="0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0" fontId="11" fillId="6" borderId="2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4" fillId="7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13" fillId="8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5" fillId="3" borderId="0" xfId="0" applyFont="1" applyFill="1" applyAlignment="1">
      <alignment horizontal="center"/>
    </xf>
    <xf numFmtId="0" fontId="0" fillId="6" borderId="1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5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F89"/>
      <color rgb="FFFFABC7"/>
      <color rgb="FFCCECFF"/>
      <color rgb="FF69FFB4"/>
      <color rgb="FFFCD7D4"/>
      <color rgb="FFE8D1FF"/>
      <color rgb="FFE4E4E4"/>
      <color rgb="FFF4AC9E"/>
      <color rgb="FFCC99FF"/>
      <color rgb="FFFCD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Hoja4!$M$8:$M$11</c:f>
              <c:numCache>
                <c:formatCode>General</c:formatCode>
                <c:ptCount val="4"/>
                <c:pt idx="0">
                  <c:v>7600000</c:v>
                </c:pt>
                <c:pt idx="1">
                  <c:v>11000000</c:v>
                </c:pt>
                <c:pt idx="2">
                  <c:v>4300000</c:v>
                </c:pt>
                <c:pt idx="3">
                  <c:v>11000000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B3-40BB-A82D-E6C892B65A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2387584"/>
        <c:axId val="122380928"/>
      </c:barChart>
      <c:catAx>
        <c:axId val="1223875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22380928"/>
        <c:crosses val="autoZero"/>
        <c:auto val="1"/>
        <c:lblAlgn val="ctr"/>
        <c:lblOffset val="100"/>
        <c:noMultiLvlLbl val="0"/>
      </c:catAx>
      <c:valAx>
        <c:axId val="12238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22387584"/>
        <c:crosses val="autoZero"/>
        <c:crossBetween val="between"/>
      </c:valAx>
      <c:spPr>
        <a:noFill/>
        <a:ln>
          <a:solidFill>
            <a:srgbClr val="FFCF89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387350</xdr:colOff>
      <xdr:row>9</xdr:row>
      <xdr:rowOff>152400</xdr:rowOff>
    </xdr:from>
    <xdr:to>
      <xdr:col>9</xdr:col>
      <xdr:colOff>228600</xdr:colOff>
      <xdr:row>11</xdr:row>
      <xdr:rowOff>95250</xdr:rowOff>
    </xdr:to>
    <xdr:sp macro="[0]!inicio" textlink="">
      <xdr:nvSpPr>
        <xdr:cNvPr id="2" name="Rectángulo 1"/>
        <xdr:cNvSpPr/>
      </xdr:nvSpPr>
      <xdr:spPr>
        <a:xfrm>
          <a:off x="4197350" y="2012950"/>
          <a:ext cx="2889250" cy="311150"/>
        </a:xfrm>
        <a:prstGeom prst="rect">
          <a:avLst/>
        </a:prstGeom>
        <a:solidFill>
          <a:srgbClr val="FFCF8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600">
              <a:latin typeface="Arial Black" panose="020B0A04020102020204" pitchFamily="34" charset="0"/>
            </a:rPr>
            <a:t>INGRESO </a:t>
          </a:r>
        </a:p>
      </xdr:txBody>
    </xdr:sp>
    <xdr:clientData/>
  </xdr:twoCellAnchor>
  <xdr:twoCellAnchor>
    <xdr:from>
      <xdr:col>5</xdr:col>
      <xdr:colOff>374650</xdr:colOff>
      <xdr:row>12</xdr:row>
      <xdr:rowOff>69850</xdr:rowOff>
    </xdr:from>
    <xdr:to>
      <xdr:col>9</xdr:col>
      <xdr:colOff>234950</xdr:colOff>
      <xdr:row>14</xdr:row>
      <xdr:rowOff>12700</xdr:rowOff>
    </xdr:to>
    <xdr:sp macro="[0]!Macro7" textlink="">
      <xdr:nvSpPr>
        <xdr:cNvPr id="4" name="Rectángulo 3"/>
        <xdr:cNvSpPr/>
      </xdr:nvSpPr>
      <xdr:spPr>
        <a:xfrm>
          <a:off x="4184650" y="2482850"/>
          <a:ext cx="2908300" cy="311150"/>
        </a:xfrm>
        <a:prstGeom prst="rect">
          <a:avLst/>
        </a:prstGeom>
        <a:solidFill>
          <a:srgbClr val="FFCF8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600">
              <a:latin typeface="Arial Black" panose="020B0A04020102020204" pitchFamily="34" charset="0"/>
            </a:rPr>
            <a:t>REPORTES </a:t>
          </a:r>
        </a:p>
      </xdr:txBody>
    </xdr:sp>
    <xdr:clientData/>
  </xdr:twoCellAnchor>
  <xdr:twoCellAnchor>
    <xdr:from>
      <xdr:col>5</xdr:col>
      <xdr:colOff>355600</xdr:colOff>
      <xdr:row>17</xdr:row>
      <xdr:rowOff>101600</xdr:rowOff>
    </xdr:from>
    <xdr:to>
      <xdr:col>9</xdr:col>
      <xdr:colOff>247650</xdr:colOff>
      <xdr:row>19</xdr:row>
      <xdr:rowOff>63500</xdr:rowOff>
    </xdr:to>
    <xdr:sp macro="[0]!Macro4" textlink="">
      <xdr:nvSpPr>
        <xdr:cNvPr id="6" name="Rectángulo 5"/>
        <xdr:cNvSpPr/>
      </xdr:nvSpPr>
      <xdr:spPr>
        <a:xfrm>
          <a:off x="4165600" y="3435350"/>
          <a:ext cx="2940050" cy="330200"/>
        </a:xfrm>
        <a:prstGeom prst="rect">
          <a:avLst/>
        </a:prstGeom>
        <a:solidFill>
          <a:srgbClr val="FFCF8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600">
              <a:latin typeface="Arial Black" panose="020B0A04020102020204" pitchFamily="34" charset="0"/>
            </a:rPr>
            <a:t>DATOS </a:t>
          </a:r>
        </a:p>
      </xdr:txBody>
    </xdr:sp>
    <xdr:clientData/>
  </xdr:twoCellAnchor>
  <xdr:twoCellAnchor>
    <xdr:from>
      <xdr:col>5</xdr:col>
      <xdr:colOff>374650</xdr:colOff>
      <xdr:row>14</xdr:row>
      <xdr:rowOff>152400</xdr:rowOff>
    </xdr:from>
    <xdr:to>
      <xdr:col>9</xdr:col>
      <xdr:colOff>247650</xdr:colOff>
      <xdr:row>16</xdr:row>
      <xdr:rowOff>127000</xdr:rowOff>
    </xdr:to>
    <xdr:sp macro="[0]!Macro16" textlink="">
      <xdr:nvSpPr>
        <xdr:cNvPr id="3" name="Rectángulo 2"/>
        <xdr:cNvSpPr/>
      </xdr:nvSpPr>
      <xdr:spPr>
        <a:xfrm>
          <a:off x="4184650" y="2933700"/>
          <a:ext cx="2921000" cy="342900"/>
        </a:xfrm>
        <a:prstGeom prst="rect">
          <a:avLst/>
        </a:prstGeom>
        <a:solidFill>
          <a:srgbClr val="FFCF8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600">
              <a:latin typeface="Arial Black" panose="020B0A04020102020204" pitchFamily="34" charset="0"/>
            </a:rPr>
            <a:t>GASTOS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107950</xdr:colOff>
      <xdr:row>13</xdr:row>
      <xdr:rowOff>6350</xdr:rowOff>
    </xdr:from>
    <xdr:to>
      <xdr:col>11</xdr:col>
      <xdr:colOff>76200</xdr:colOff>
      <xdr:row>15</xdr:row>
      <xdr:rowOff>31750</xdr:rowOff>
    </xdr:to>
    <xdr:sp macro="[0]!inicio2" textlink="">
      <xdr:nvSpPr>
        <xdr:cNvPr id="3" name="Rectángulo 2"/>
        <xdr:cNvSpPr/>
      </xdr:nvSpPr>
      <xdr:spPr>
        <a:xfrm>
          <a:off x="6286500" y="2635250"/>
          <a:ext cx="2254250" cy="393700"/>
        </a:xfrm>
        <a:prstGeom prst="rect">
          <a:avLst/>
        </a:prstGeom>
        <a:solidFill>
          <a:srgbClr val="F4AC9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600">
              <a:latin typeface="Arial Black" panose="020B0A04020102020204" pitchFamily="34" charset="0"/>
            </a:rPr>
            <a:t>VOLVER AL MENU </a:t>
          </a:r>
        </a:p>
      </xdr:txBody>
    </xdr:sp>
    <xdr:clientData/>
  </xdr:twoCellAnchor>
  <xdr:twoCellAnchor>
    <xdr:from>
      <xdr:col>2</xdr:col>
      <xdr:colOff>596900</xdr:colOff>
      <xdr:row>12</xdr:row>
      <xdr:rowOff>165100</xdr:rowOff>
    </xdr:from>
    <xdr:to>
      <xdr:col>5</xdr:col>
      <xdr:colOff>501650</xdr:colOff>
      <xdr:row>15</xdr:row>
      <xdr:rowOff>12700</xdr:rowOff>
    </xdr:to>
    <xdr:sp macro="[0]!Macro3" textlink="">
      <xdr:nvSpPr>
        <xdr:cNvPr id="4" name="Rectángulo 3"/>
        <xdr:cNvSpPr/>
      </xdr:nvSpPr>
      <xdr:spPr>
        <a:xfrm>
          <a:off x="2120900" y="2609850"/>
          <a:ext cx="2254250" cy="400050"/>
        </a:xfrm>
        <a:prstGeom prst="rect">
          <a:avLst/>
        </a:prstGeom>
        <a:solidFill>
          <a:srgbClr val="F4AC9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>
              <a:latin typeface="Arial Black" panose="020B0A04020102020204" pitchFamily="34" charset="0"/>
            </a:rPr>
            <a:t>INGRESAR DATOS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4</xdr:row>
      <xdr:rowOff>1</xdr:rowOff>
    </xdr:from>
    <xdr:to>
      <xdr:col>0</xdr:col>
      <xdr:colOff>746956</xdr:colOff>
      <xdr:row>19</xdr:row>
      <xdr:rowOff>6351</xdr:rowOff>
    </xdr:to>
    <xdr:sp macro="[0]!Macro5" textlink="">
      <xdr:nvSpPr>
        <xdr:cNvPr id="2" name="Rectángulo 1"/>
        <xdr:cNvSpPr/>
      </xdr:nvSpPr>
      <xdr:spPr>
        <a:xfrm>
          <a:off x="101600" y="863601"/>
          <a:ext cx="645356" cy="2584450"/>
        </a:xfrm>
        <a:prstGeom prst="rect">
          <a:avLst/>
        </a:prstGeom>
        <a:solidFill>
          <a:srgbClr val="F4AC9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200">
              <a:solidFill>
                <a:sysClr val="windowText" lastClr="000000"/>
              </a:solidFill>
              <a:latin typeface="Arial Black" panose="020B0A04020102020204" pitchFamily="34" charset="0"/>
            </a:rPr>
            <a:t>V</a:t>
          </a:r>
        </a:p>
        <a:p>
          <a:pPr algn="ctr"/>
          <a:r>
            <a:rPr lang="es-CO" sz="1200">
              <a:solidFill>
                <a:sysClr val="windowText" lastClr="000000"/>
              </a:solidFill>
              <a:latin typeface="Arial Black" panose="020B0A04020102020204" pitchFamily="34" charset="0"/>
            </a:rPr>
            <a:t>O</a:t>
          </a:r>
        </a:p>
        <a:p>
          <a:pPr algn="ctr"/>
          <a:r>
            <a:rPr lang="es-CO" sz="1200">
              <a:solidFill>
                <a:sysClr val="windowText" lastClr="000000"/>
              </a:solidFill>
              <a:latin typeface="Arial Black" panose="020B0A04020102020204" pitchFamily="34" charset="0"/>
            </a:rPr>
            <a:t>L</a:t>
          </a:r>
        </a:p>
        <a:p>
          <a:pPr algn="ctr"/>
          <a:r>
            <a:rPr lang="es-CO" sz="1200">
              <a:solidFill>
                <a:sysClr val="windowText" lastClr="000000"/>
              </a:solidFill>
              <a:latin typeface="Arial Black" panose="020B0A04020102020204" pitchFamily="34" charset="0"/>
            </a:rPr>
            <a:t>V</a:t>
          </a:r>
        </a:p>
        <a:p>
          <a:pPr algn="ctr"/>
          <a:r>
            <a:rPr lang="es-CO" sz="1200">
              <a:solidFill>
                <a:sysClr val="windowText" lastClr="000000"/>
              </a:solidFill>
              <a:latin typeface="Arial Black" panose="020B0A04020102020204" pitchFamily="34" charset="0"/>
            </a:rPr>
            <a:t>E</a:t>
          </a:r>
        </a:p>
        <a:p>
          <a:pPr algn="ctr"/>
          <a:r>
            <a:rPr lang="es-CO" sz="1200">
              <a:solidFill>
                <a:sysClr val="windowText" lastClr="000000"/>
              </a:solidFill>
              <a:latin typeface="Arial Black" panose="020B0A04020102020204" pitchFamily="34" charset="0"/>
            </a:rPr>
            <a:t>R</a:t>
          </a:r>
        </a:p>
        <a:p>
          <a:pPr algn="ctr"/>
          <a:endParaRPr lang="es-CO" sz="1200">
            <a:solidFill>
              <a:sysClr val="windowText" lastClr="000000"/>
            </a:solidFill>
            <a:latin typeface="Arial Black" panose="020B0A04020102020204" pitchFamily="34" charset="0"/>
          </a:endParaRPr>
        </a:p>
        <a:p>
          <a:pPr algn="ctr"/>
          <a:r>
            <a:rPr lang="es-CO" sz="1200">
              <a:solidFill>
                <a:sysClr val="windowText" lastClr="000000"/>
              </a:solidFill>
              <a:latin typeface="Arial Black" panose="020B0A04020102020204" pitchFamily="34" charset="0"/>
            </a:rPr>
            <a:t>M</a:t>
          </a:r>
        </a:p>
        <a:p>
          <a:pPr algn="ctr"/>
          <a:r>
            <a:rPr lang="es-CO" sz="1200">
              <a:solidFill>
                <a:sysClr val="windowText" lastClr="000000"/>
              </a:solidFill>
              <a:latin typeface="Arial Black" panose="020B0A04020102020204" pitchFamily="34" charset="0"/>
            </a:rPr>
            <a:t>E</a:t>
          </a:r>
        </a:p>
        <a:p>
          <a:pPr algn="ctr"/>
          <a:r>
            <a:rPr lang="es-CO" sz="1200">
              <a:solidFill>
                <a:sysClr val="windowText" lastClr="000000"/>
              </a:solidFill>
              <a:latin typeface="Arial Black" panose="020B0A04020102020204" pitchFamily="34" charset="0"/>
            </a:rPr>
            <a:t>N</a:t>
          </a:r>
        </a:p>
        <a:p>
          <a:pPr algn="ctr"/>
          <a:r>
            <a:rPr lang="es-CO" sz="1200">
              <a:solidFill>
                <a:sysClr val="windowText" lastClr="000000"/>
              </a:solidFill>
              <a:latin typeface="Arial Black" panose="020B0A04020102020204" pitchFamily="34" charset="0"/>
            </a:rPr>
            <a:t>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387350</xdr:colOff>
      <xdr:row>15</xdr:row>
      <xdr:rowOff>158750</xdr:rowOff>
    </xdr:from>
    <xdr:to>
      <xdr:col>14</xdr:col>
      <xdr:colOff>349250</xdr:colOff>
      <xdr:row>17</xdr:row>
      <xdr:rowOff>152400</xdr:rowOff>
    </xdr:to>
    <xdr:sp macro="[0]!Macro6" textlink="">
      <xdr:nvSpPr>
        <xdr:cNvPr id="2" name="Rectángulo 1"/>
        <xdr:cNvSpPr/>
      </xdr:nvSpPr>
      <xdr:spPr>
        <a:xfrm>
          <a:off x="9239250" y="3048000"/>
          <a:ext cx="2247900" cy="361950"/>
        </a:xfrm>
        <a:prstGeom prst="rect">
          <a:avLst/>
        </a:prstGeom>
        <a:solidFill>
          <a:srgbClr val="FFABC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>
              <a:latin typeface="Arial Black" panose="020B0A04020102020204" pitchFamily="34" charset="0"/>
            </a:rPr>
            <a:t>VOLVER</a:t>
          </a:r>
          <a:r>
            <a:rPr lang="es-CO" sz="1600" baseline="0">
              <a:latin typeface="Arial Black" panose="020B0A04020102020204" pitchFamily="34" charset="0"/>
            </a:rPr>
            <a:t> AL MENU </a:t>
          </a:r>
          <a:endParaRPr lang="es-CO" sz="16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</xdr:col>
      <xdr:colOff>187325</xdr:colOff>
      <xdr:row>8</xdr:row>
      <xdr:rowOff>79375</xdr:rowOff>
    </xdr:from>
    <xdr:to>
      <xdr:col>5</xdr:col>
      <xdr:colOff>571500</xdr:colOff>
      <xdr:row>19</xdr:row>
      <xdr:rowOff>120650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177800</xdr:colOff>
      <xdr:row>1</xdr:row>
      <xdr:rowOff>95250</xdr:rowOff>
    </xdr:from>
    <xdr:to>
      <xdr:col>12</xdr:col>
      <xdr:colOff>450850</xdr:colOff>
      <xdr:row>3</xdr:row>
      <xdr:rowOff>19050</xdr:rowOff>
    </xdr:to>
    <xdr:sp macro="[0]!Macro10" textlink="">
      <xdr:nvSpPr>
        <xdr:cNvPr id="4" name="Rectángulo 3"/>
        <xdr:cNvSpPr/>
      </xdr:nvSpPr>
      <xdr:spPr>
        <a:xfrm>
          <a:off x="7797800" y="279400"/>
          <a:ext cx="1797050" cy="292100"/>
        </a:xfrm>
        <a:prstGeom prst="rect">
          <a:avLst/>
        </a:prstGeom>
        <a:solidFill>
          <a:srgbClr val="69FFB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400">
              <a:solidFill>
                <a:sysClr val="windowText" lastClr="000000"/>
              </a:solidFill>
              <a:latin typeface="Arial Black" panose="020B0A04020102020204" pitchFamily="34" charset="0"/>
            </a:rPr>
            <a:t>VER INGRESOS </a:t>
          </a:r>
        </a:p>
      </xdr:txBody>
    </xdr:sp>
    <xdr:clientData/>
  </xdr:twoCellAnchor>
  <xdr:twoCellAnchor>
    <xdr:from>
      <xdr:col>10</xdr:col>
      <xdr:colOff>215900</xdr:colOff>
      <xdr:row>7</xdr:row>
      <xdr:rowOff>127000</xdr:rowOff>
    </xdr:from>
    <xdr:to>
      <xdr:col>12</xdr:col>
      <xdr:colOff>488950</xdr:colOff>
      <xdr:row>9</xdr:row>
      <xdr:rowOff>50800</xdr:rowOff>
    </xdr:to>
    <xdr:sp macro="[0]!Macro11" textlink="">
      <xdr:nvSpPr>
        <xdr:cNvPr id="5" name="Rectángulo 4"/>
        <xdr:cNvSpPr/>
      </xdr:nvSpPr>
      <xdr:spPr>
        <a:xfrm>
          <a:off x="7835900" y="1416050"/>
          <a:ext cx="1797050" cy="292100"/>
        </a:xfrm>
        <a:prstGeom prst="rect">
          <a:avLst/>
        </a:prstGeom>
        <a:solidFill>
          <a:srgbClr val="69FFB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400">
              <a:solidFill>
                <a:sysClr val="windowText" lastClr="000000"/>
              </a:solidFill>
              <a:latin typeface="Arial Black" panose="020B0A04020102020204" pitchFamily="34" charset="0"/>
            </a:rPr>
            <a:t>VER</a:t>
          </a:r>
          <a:r>
            <a:rPr lang="es-CO" sz="1400" baseline="0">
              <a:solidFill>
                <a:sysClr val="windowText" lastClr="000000"/>
              </a:solidFill>
              <a:latin typeface="Arial Black" panose="020B0A04020102020204" pitchFamily="34" charset="0"/>
            </a:rPr>
            <a:t> EGRESOS </a:t>
          </a:r>
          <a:endParaRPr lang="es-CO" sz="1400">
            <a:solidFill>
              <a:sysClr val="windowText" lastClr="00000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</xdr:col>
      <xdr:colOff>558800</xdr:colOff>
      <xdr:row>13</xdr:row>
      <xdr:rowOff>146050</xdr:rowOff>
    </xdr:from>
    <xdr:to>
      <xdr:col>3</xdr:col>
      <xdr:colOff>558800</xdr:colOff>
      <xdr:row>15</xdr:row>
      <xdr:rowOff>139700</xdr:rowOff>
    </xdr:to>
    <xdr:sp macro="[0]!Macro8" textlink="">
      <xdr:nvSpPr>
        <xdr:cNvPr id="7" name="Rectángulo 6"/>
        <xdr:cNvSpPr/>
      </xdr:nvSpPr>
      <xdr:spPr>
        <a:xfrm>
          <a:off x="1320800" y="2540000"/>
          <a:ext cx="1524000" cy="361950"/>
        </a:xfrm>
        <a:prstGeom prst="rect">
          <a:avLst/>
        </a:prstGeom>
        <a:solidFill>
          <a:srgbClr val="CCE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400">
              <a:solidFill>
                <a:sysClr val="windowText" lastClr="000000"/>
              </a:solidFill>
              <a:latin typeface="Arial Black" panose="020B0A04020102020204" pitchFamily="34" charset="0"/>
            </a:rPr>
            <a:t>VER</a:t>
          </a:r>
          <a:r>
            <a:rPr lang="es-CO" sz="1400" baseline="0">
              <a:solidFill>
                <a:sysClr val="windowText" lastClr="000000"/>
              </a:solidFill>
              <a:latin typeface="Arial Black" panose="020B0A04020102020204" pitchFamily="34" charset="0"/>
            </a:rPr>
            <a:t> NOMINA</a:t>
          </a:r>
          <a:endParaRPr lang="es-CO" sz="1400">
            <a:solidFill>
              <a:sysClr val="windowText" lastClr="00000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4</xdr:col>
      <xdr:colOff>635000</xdr:colOff>
      <xdr:row>13</xdr:row>
      <xdr:rowOff>139700</xdr:rowOff>
    </xdr:from>
    <xdr:to>
      <xdr:col>7</xdr:col>
      <xdr:colOff>260350</xdr:colOff>
      <xdr:row>15</xdr:row>
      <xdr:rowOff>152400</xdr:rowOff>
    </xdr:to>
    <xdr:sp macro="[0]!Macro9" textlink="">
      <xdr:nvSpPr>
        <xdr:cNvPr id="8" name="Rectángulo 7"/>
        <xdr:cNvSpPr/>
      </xdr:nvSpPr>
      <xdr:spPr>
        <a:xfrm>
          <a:off x="3683000" y="2533650"/>
          <a:ext cx="1911350" cy="381000"/>
        </a:xfrm>
        <a:prstGeom prst="rect">
          <a:avLst/>
        </a:prstGeom>
        <a:solidFill>
          <a:srgbClr val="CCE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400">
              <a:solidFill>
                <a:sysClr val="windowText" lastClr="000000"/>
              </a:solidFill>
              <a:latin typeface="Arial Black" panose="020B0A04020102020204" pitchFamily="34" charset="0"/>
            </a:rPr>
            <a:t>BORRAR</a:t>
          </a:r>
          <a:r>
            <a:rPr lang="es-CO" sz="1400" baseline="0">
              <a:solidFill>
                <a:sysClr val="windowText" lastClr="000000"/>
              </a:solidFill>
              <a:latin typeface="Arial Black" panose="020B0A04020102020204" pitchFamily="34" charset="0"/>
            </a:rPr>
            <a:t> NOMINA</a:t>
          </a:r>
          <a:endParaRPr lang="es-CO" sz="1400">
            <a:solidFill>
              <a:sysClr val="windowText" lastClr="00000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10</xdr:col>
      <xdr:colOff>552450</xdr:colOff>
      <xdr:row>19</xdr:row>
      <xdr:rowOff>63500</xdr:rowOff>
    </xdr:from>
    <xdr:to>
      <xdr:col>12</xdr:col>
      <xdr:colOff>508000</xdr:colOff>
      <xdr:row>20</xdr:row>
      <xdr:rowOff>177800</xdr:rowOff>
    </xdr:to>
    <xdr:sp macro="[0]!Macro15" textlink="">
      <xdr:nvSpPr>
        <xdr:cNvPr id="9" name="Rectángulo 8"/>
        <xdr:cNvSpPr/>
      </xdr:nvSpPr>
      <xdr:spPr>
        <a:xfrm>
          <a:off x="8172450" y="3562350"/>
          <a:ext cx="1479550" cy="298450"/>
        </a:xfrm>
        <a:prstGeom prst="rect">
          <a:avLst/>
        </a:prstGeom>
        <a:solidFill>
          <a:srgbClr val="CCE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>
              <a:solidFill>
                <a:sysClr val="windowText" lastClr="000000"/>
              </a:solidFill>
              <a:latin typeface="Arial Black" panose="020B0A04020102020204" pitchFamily="34" charset="0"/>
            </a:rPr>
            <a:t>BORRAR</a:t>
          </a:r>
          <a:r>
            <a:rPr lang="es-CO" sz="1100" baseline="0">
              <a:solidFill>
                <a:sysClr val="windowText" lastClr="000000"/>
              </a:solidFill>
              <a:latin typeface="Arial Black" panose="020B0A04020102020204" pitchFamily="34" charset="0"/>
            </a:rPr>
            <a:t> DATOS </a:t>
          </a:r>
          <a:endParaRPr lang="es-CO" sz="1100">
            <a:solidFill>
              <a:sysClr val="windowText" lastClr="00000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9</xdr:col>
      <xdr:colOff>349250</xdr:colOff>
      <xdr:row>13</xdr:row>
      <xdr:rowOff>50800</xdr:rowOff>
    </xdr:from>
    <xdr:to>
      <xdr:col>13</xdr:col>
      <xdr:colOff>355600</xdr:colOff>
      <xdr:row>14</xdr:row>
      <xdr:rowOff>165100</xdr:rowOff>
    </xdr:to>
    <xdr:sp macro="[0]!Macro13" textlink="">
      <xdr:nvSpPr>
        <xdr:cNvPr id="10" name="Rectángulo 9"/>
        <xdr:cNvSpPr/>
      </xdr:nvSpPr>
      <xdr:spPr>
        <a:xfrm>
          <a:off x="7207250" y="2444750"/>
          <a:ext cx="3054350" cy="298450"/>
        </a:xfrm>
        <a:prstGeom prst="rect">
          <a:avLst/>
        </a:prstGeom>
        <a:solidFill>
          <a:srgbClr val="69FFB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400">
              <a:solidFill>
                <a:sysClr val="windowText" lastClr="000000"/>
              </a:solidFill>
              <a:latin typeface="Arial Black" panose="020B0A04020102020204" pitchFamily="34" charset="0"/>
            </a:rPr>
            <a:t>VER</a:t>
          </a:r>
          <a:r>
            <a:rPr lang="es-CO" sz="1400" baseline="0">
              <a:solidFill>
                <a:sysClr val="windowText" lastClr="000000"/>
              </a:solidFill>
              <a:latin typeface="Arial Black" panose="020B0A04020102020204" pitchFamily="34" charset="0"/>
            </a:rPr>
            <a:t> TOTAL DE LA EMPRESA </a:t>
          </a:r>
          <a:endParaRPr lang="es-CO" sz="1400">
            <a:solidFill>
              <a:sysClr val="windowText" lastClr="00000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2</xdr:col>
      <xdr:colOff>336550</xdr:colOff>
      <xdr:row>19</xdr:row>
      <xdr:rowOff>38100</xdr:rowOff>
    </xdr:from>
    <xdr:to>
      <xdr:col>6</xdr:col>
      <xdr:colOff>139700</xdr:colOff>
      <xdr:row>21</xdr:row>
      <xdr:rowOff>0</xdr:rowOff>
    </xdr:to>
    <xdr:sp macro="[0]!Macro19" textlink="">
      <xdr:nvSpPr>
        <xdr:cNvPr id="11" name="Rectángulo 10"/>
        <xdr:cNvSpPr/>
      </xdr:nvSpPr>
      <xdr:spPr>
        <a:xfrm>
          <a:off x="1860550" y="3536950"/>
          <a:ext cx="2851150" cy="330200"/>
        </a:xfrm>
        <a:prstGeom prst="rect">
          <a:avLst/>
        </a:prstGeom>
        <a:solidFill>
          <a:srgbClr val="CCEC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400">
              <a:solidFill>
                <a:sysClr val="windowText" lastClr="000000"/>
              </a:solidFill>
              <a:latin typeface="Arial Black" panose="020B0A04020102020204" pitchFamily="34" charset="0"/>
            </a:rPr>
            <a:t>VOLVER AL MENU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C3:M22"/>
  <sheetViews>
    <sheetView showGridLines="0" topLeftCell="A2" workbookViewId="0">
      <selection activeCell="F13" sqref="F13"/>
    </sheetView>
  </sheetViews>
  <sheetFormatPr baseColWidth="10" defaultRowHeight="14.5" x14ac:dyDescent="0.35"/>
  <sheetData>
    <row r="3" spans="3:13" x14ac:dyDescent="0.35"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3:13" x14ac:dyDescent="0.35"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3:13" x14ac:dyDescent="0.35">
      <c r="C5" s="1"/>
      <c r="D5" s="3"/>
      <c r="E5" s="3"/>
      <c r="F5" s="3"/>
      <c r="G5" s="3"/>
      <c r="H5" s="3"/>
      <c r="I5" s="3"/>
      <c r="J5" s="3"/>
      <c r="K5" s="3"/>
      <c r="L5" s="3"/>
      <c r="M5" s="1"/>
    </row>
    <row r="6" spans="3:13" x14ac:dyDescent="0.35">
      <c r="C6" s="1"/>
      <c r="D6" s="3"/>
      <c r="E6" s="2"/>
      <c r="F6" s="2"/>
      <c r="G6" s="2"/>
      <c r="H6" s="2"/>
      <c r="I6" s="2"/>
      <c r="J6" s="2"/>
      <c r="K6" s="2"/>
      <c r="L6" s="3"/>
      <c r="M6" s="1"/>
    </row>
    <row r="7" spans="3:13" ht="30.5" x14ac:dyDescent="0.85">
      <c r="C7" s="1"/>
      <c r="D7" s="3"/>
      <c r="E7" s="2"/>
      <c r="F7" s="6" t="s">
        <v>0</v>
      </c>
      <c r="G7" s="8" t="s">
        <v>21</v>
      </c>
      <c r="H7" s="7"/>
      <c r="I7" s="2"/>
      <c r="J7" s="2"/>
      <c r="K7" s="2"/>
      <c r="L7" s="3"/>
      <c r="M7" s="1"/>
    </row>
    <row r="8" spans="3:13" x14ac:dyDescent="0.35">
      <c r="C8" s="1"/>
      <c r="D8" s="3"/>
      <c r="E8" s="3"/>
      <c r="F8" s="3"/>
      <c r="G8" s="3"/>
      <c r="H8" s="3"/>
      <c r="I8" s="3"/>
      <c r="J8" s="3"/>
      <c r="K8" s="3"/>
      <c r="L8" s="3"/>
      <c r="M8" s="1"/>
    </row>
    <row r="9" spans="3:13" x14ac:dyDescent="0.35">
      <c r="C9" s="1"/>
      <c r="D9" s="3"/>
      <c r="E9" s="3"/>
      <c r="F9" s="3"/>
      <c r="G9" s="3"/>
      <c r="H9" s="3"/>
      <c r="I9" s="3"/>
      <c r="J9" s="3"/>
      <c r="K9" s="3"/>
      <c r="L9" s="3"/>
      <c r="M9" s="1"/>
    </row>
    <row r="10" spans="3:13" x14ac:dyDescent="0.35"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3:13" x14ac:dyDescent="0.35"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3:13" x14ac:dyDescent="0.35"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3:13" x14ac:dyDescent="0.35"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3:13" x14ac:dyDescent="0.35"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3:13" x14ac:dyDescent="0.35"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3:13" x14ac:dyDescent="0.35"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3:13" x14ac:dyDescent="0.35"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3:13" x14ac:dyDescent="0.35"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3:13" x14ac:dyDescent="0.35"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3:13" x14ac:dyDescent="0.35"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3:13" x14ac:dyDescent="0.35"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3:13" x14ac:dyDescent="0.35"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3:N20"/>
  <sheetViews>
    <sheetView showGridLines="0" workbookViewId="0">
      <selection activeCell="D11" sqref="D11:K11"/>
    </sheetView>
  </sheetViews>
  <sheetFormatPr baseColWidth="10" defaultRowHeight="14.5" x14ac:dyDescent="0.35"/>
  <cols>
    <col min="3" max="3" width="8.81640625" customWidth="1"/>
    <col min="4" max="4" width="13.90625" customWidth="1"/>
    <col min="6" max="6" width="11.1796875" customWidth="1"/>
  </cols>
  <sheetData>
    <row r="3" spans="2:14" x14ac:dyDescent="0.35"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2"/>
    </row>
    <row r="4" spans="2:14" x14ac:dyDescent="0.35"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2"/>
    </row>
    <row r="5" spans="2:14" x14ac:dyDescent="0.35">
      <c r="B5" s="9"/>
      <c r="C5" s="9"/>
      <c r="D5" s="10"/>
      <c r="E5" s="10"/>
      <c r="F5" s="10"/>
      <c r="G5" s="10"/>
      <c r="H5" s="10"/>
      <c r="I5" s="10"/>
      <c r="J5" s="10"/>
      <c r="K5" s="10"/>
      <c r="L5" s="9"/>
      <c r="M5" s="9"/>
      <c r="N5" s="2"/>
    </row>
    <row r="6" spans="2:14" ht="30.5" x14ac:dyDescent="0.85">
      <c r="B6" s="9"/>
      <c r="C6" s="9"/>
      <c r="D6" s="10"/>
      <c r="E6" s="10"/>
      <c r="F6" s="6"/>
      <c r="G6" s="5" t="s">
        <v>1</v>
      </c>
      <c r="H6" s="4"/>
      <c r="I6" s="11"/>
      <c r="J6" s="10"/>
      <c r="K6" s="10"/>
      <c r="L6" s="9"/>
      <c r="M6" s="9"/>
      <c r="N6" s="2"/>
    </row>
    <row r="7" spans="2:14" x14ac:dyDescent="0.35">
      <c r="B7" s="9"/>
      <c r="C7" s="9"/>
      <c r="D7" s="10"/>
      <c r="E7" s="10"/>
      <c r="F7" s="10"/>
      <c r="G7" s="10"/>
      <c r="H7" s="10"/>
      <c r="I7" s="10"/>
      <c r="J7" s="10"/>
      <c r="K7" s="10"/>
      <c r="L7" s="9"/>
      <c r="M7" s="9"/>
      <c r="N7" s="2"/>
    </row>
    <row r="8" spans="2:14" x14ac:dyDescent="0.35"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2"/>
    </row>
    <row r="9" spans="2:14" x14ac:dyDescent="0.35"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2"/>
    </row>
    <row r="10" spans="2:14" ht="17" x14ac:dyDescent="0.5">
      <c r="B10" s="9"/>
      <c r="C10" s="9"/>
      <c r="D10" s="30" t="s">
        <v>5</v>
      </c>
      <c r="E10" s="31"/>
      <c r="F10" s="32" t="s">
        <v>2</v>
      </c>
      <c r="G10" s="33"/>
      <c r="H10" s="34" t="s">
        <v>4</v>
      </c>
      <c r="I10" s="35"/>
      <c r="J10" s="36" t="s">
        <v>3</v>
      </c>
      <c r="K10" s="37"/>
      <c r="L10" s="9"/>
      <c r="M10" s="9"/>
      <c r="N10" s="2"/>
    </row>
    <row r="11" spans="2:14" x14ac:dyDescent="0.35">
      <c r="B11" s="9"/>
      <c r="C11" s="9"/>
      <c r="D11" s="38">
        <v>2</v>
      </c>
      <c r="E11" s="38"/>
      <c r="F11" s="38" t="s">
        <v>30</v>
      </c>
      <c r="G11" s="38"/>
      <c r="H11" s="38">
        <v>500000</v>
      </c>
      <c r="I11" s="38"/>
      <c r="J11" s="38">
        <v>6</v>
      </c>
      <c r="K11" s="38"/>
      <c r="L11" s="9"/>
      <c r="M11" s="9"/>
      <c r="N11" s="2"/>
    </row>
    <row r="12" spans="2:14" x14ac:dyDescent="0.35"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2"/>
    </row>
    <row r="13" spans="2:14" x14ac:dyDescent="0.35"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2"/>
    </row>
    <row r="14" spans="2:14" x14ac:dyDescent="0.35"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2"/>
    </row>
    <row r="15" spans="2:14" x14ac:dyDescent="0.35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2"/>
    </row>
    <row r="16" spans="2:14" x14ac:dyDescent="0.35"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2"/>
    </row>
    <row r="17" spans="2:14" x14ac:dyDescent="0.35"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2"/>
    </row>
    <row r="18" spans="2:14" x14ac:dyDescent="0.35"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2"/>
    </row>
    <row r="19" spans="2:14" x14ac:dyDescent="0.35"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2"/>
    </row>
    <row r="20" spans="2:14" x14ac:dyDescent="0.35"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2"/>
    </row>
  </sheetData>
  <mergeCells count="8">
    <mergeCell ref="D10:E10"/>
    <mergeCell ref="F10:G10"/>
    <mergeCell ref="H10:I10"/>
    <mergeCell ref="J10:K10"/>
    <mergeCell ref="D11:E11"/>
    <mergeCell ref="F11:G11"/>
    <mergeCell ref="H11:I11"/>
    <mergeCell ref="J11:K1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P43"/>
  <sheetViews>
    <sheetView zoomScaleNormal="100" workbookViewId="0">
      <selection activeCell="P7" sqref="P7"/>
    </sheetView>
  </sheetViews>
  <sheetFormatPr baseColWidth="10" defaultRowHeight="14.5" x14ac:dyDescent="0.35"/>
  <cols>
    <col min="3" max="4" width="19.36328125" customWidth="1"/>
    <col min="5" max="5" width="17.7265625" customWidth="1"/>
    <col min="6" max="6" width="23.26953125" customWidth="1"/>
    <col min="7" max="7" width="15.6328125" customWidth="1"/>
    <col min="11" max="11" width="16.1796875" customWidth="1"/>
  </cols>
  <sheetData>
    <row r="2" spans="2:16" ht="14.5" customHeight="1" x14ac:dyDescent="0.8">
      <c r="B2" s="16"/>
      <c r="C2" s="13"/>
      <c r="D2" s="13"/>
      <c r="E2" s="39" t="s">
        <v>6</v>
      </c>
      <c r="F2" s="40"/>
      <c r="G2" s="15"/>
      <c r="H2" s="16"/>
      <c r="I2" s="16"/>
      <c r="J2" s="16"/>
      <c r="M2" s="17"/>
      <c r="N2" s="17"/>
      <c r="O2" s="17"/>
      <c r="P2" s="17"/>
    </row>
    <row r="3" spans="2:16" ht="24.5" x14ac:dyDescent="0.7">
      <c r="B3" s="16"/>
      <c r="C3" s="14"/>
      <c r="D3" s="14"/>
      <c r="E3" s="40"/>
      <c r="F3" s="40"/>
      <c r="G3" s="15"/>
      <c r="H3" s="16"/>
      <c r="I3" s="16"/>
      <c r="J3" s="16"/>
      <c r="M3" s="17"/>
      <c r="N3" s="18" t="s">
        <v>10</v>
      </c>
      <c r="O3" s="17"/>
      <c r="P3" s="17"/>
    </row>
    <row r="5" spans="2:16" x14ac:dyDescent="0.35">
      <c r="C5" s="12"/>
      <c r="D5" s="12"/>
      <c r="E5" s="12"/>
      <c r="F5" s="12"/>
      <c r="M5" t="s">
        <v>11</v>
      </c>
      <c r="N5" t="s">
        <v>12</v>
      </c>
      <c r="O5" t="s">
        <v>13</v>
      </c>
      <c r="P5" t="s">
        <v>14</v>
      </c>
    </row>
    <row r="6" spans="2:16" x14ac:dyDescent="0.35">
      <c r="C6" s="12" t="s">
        <v>8</v>
      </c>
      <c r="D6" s="12"/>
      <c r="E6" s="12" t="s">
        <v>2</v>
      </c>
      <c r="F6" s="12"/>
      <c r="G6" s="12" t="s">
        <v>7</v>
      </c>
      <c r="I6" s="12" t="s">
        <v>9</v>
      </c>
      <c r="K6" s="12" t="s">
        <v>15</v>
      </c>
      <c r="M6">
        <f>SUMIF(C:C,"1",K:K)</f>
        <v>7600000</v>
      </c>
      <c r="N6">
        <f>SUMIF(C:C,"2",K:K)</f>
        <v>11000000</v>
      </c>
      <c r="O6">
        <f>SUMIF(C:C,"3",K:K)</f>
        <v>4300000</v>
      </c>
      <c r="P6">
        <f>SUMIF(C:C,"4",K:K)</f>
        <v>11000000</v>
      </c>
    </row>
    <row r="7" spans="2:16" x14ac:dyDescent="0.35">
      <c r="C7" s="12">
        <v>2</v>
      </c>
      <c r="D7" s="12"/>
      <c r="E7" s="12" t="s">
        <v>30</v>
      </c>
      <c r="F7" s="12"/>
      <c r="G7" s="12">
        <v>500000</v>
      </c>
      <c r="I7" s="12">
        <v>6</v>
      </c>
      <c r="K7" s="12">
        <f>(G7*I7)</f>
        <v>3000000</v>
      </c>
    </row>
    <row r="8" spans="2:16" x14ac:dyDescent="0.35">
      <c r="C8" s="12">
        <v>2</v>
      </c>
      <c r="D8" s="12"/>
      <c r="E8" s="12" t="s">
        <v>30</v>
      </c>
      <c r="F8" s="12"/>
      <c r="G8" s="12">
        <v>500000</v>
      </c>
      <c r="I8" s="12">
        <v>6</v>
      </c>
      <c r="K8" s="12">
        <f>(G8*I8)</f>
        <v>3000000</v>
      </c>
    </row>
    <row r="9" spans="2:16" x14ac:dyDescent="0.35">
      <c r="C9" s="12">
        <v>4</v>
      </c>
      <c r="D9" s="12"/>
      <c r="E9" s="12" t="s">
        <v>16</v>
      </c>
      <c r="F9" s="12"/>
      <c r="G9" s="12">
        <v>1000000</v>
      </c>
      <c r="I9" s="12">
        <v>2</v>
      </c>
      <c r="K9" s="12">
        <f>(G9*I9)</f>
        <v>2000000</v>
      </c>
    </row>
    <row r="10" spans="2:16" x14ac:dyDescent="0.35">
      <c r="C10" s="12">
        <v>3</v>
      </c>
      <c r="D10" s="12"/>
      <c r="E10" s="12" t="s">
        <v>16</v>
      </c>
      <c r="F10" s="12"/>
      <c r="G10" s="12">
        <v>1000000</v>
      </c>
      <c r="I10" s="12">
        <v>1</v>
      </c>
      <c r="K10" s="12">
        <f>(G10*I10)</f>
        <v>1000000</v>
      </c>
    </row>
    <row r="11" spans="2:16" x14ac:dyDescent="0.35">
      <c r="C11" s="12">
        <v>4</v>
      </c>
      <c r="D11" s="12"/>
      <c r="E11" s="12" t="s">
        <v>16</v>
      </c>
      <c r="F11" s="12"/>
      <c r="G11" s="12">
        <v>1000000</v>
      </c>
      <c r="I11" s="12">
        <v>1</v>
      </c>
      <c r="K11" s="12">
        <f>(G11*I11)</f>
        <v>1000000</v>
      </c>
    </row>
    <row r="12" spans="2:16" x14ac:dyDescent="0.35">
      <c r="C12" s="12">
        <v>1</v>
      </c>
      <c r="D12" s="12"/>
      <c r="E12" s="12" t="s">
        <v>31</v>
      </c>
      <c r="F12" s="12"/>
      <c r="G12" s="12">
        <v>2000000</v>
      </c>
      <c r="I12" s="12">
        <v>1</v>
      </c>
      <c r="K12" s="12">
        <f>(G12*I12)</f>
        <v>2000000</v>
      </c>
    </row>
    <row r="13" spans="2:16" x14ac:dyDescent="0.35">
      <c r="C13" s="12">
        <v>4</v>
      </c>
      <c r="D13" s="12"/>
      <c r="E13" s="12" t="s">
        <v>17</v>
      </c>
      <c r="F13" s="12"/>
      <c r="G13" s="12">
        <v>8000000</v>
      </c>
      <c r="I13" s="12">
        <v>1</v>
      </c>
      <c r="K13" s="12">
        <f t="shared" ref="K13:K19" si="0">(G13*I13)</f>
        <v>8000000</v>
      </c>
    </row>
    <row r="14" spans="2:16" x14ac:dyDescent="0.35">
      <c r="C14" s="12">
        <v>1</v>
      </c>
      <c r="D14" s="12"/>
      <c r="E14" s="12" t="s">
        <v>16</v>
      </c>
      <c r="F14" s="12"/>
      <c r="G14" s="12">
        <v>600000</v>
      </c>
      <c r="I14" s="12">
        <v>1</v>
      </c>
      <c r="K14" s="12">
        <f t="shared" si="0"/>
        <v>600000</v>
      </c>
    </row>
    <row r="15" spans="2:16" x14ac:dyDescent="0.35">
      <c r="C15" s="12">
        <v>2</v>
      </c>
      <c r="D15" s="12"/>
      <c r="E15" s="12" t="s">
        <v>26</v>
      </c>
      <c r="F15" s="12"/>
      <c r="G15" s="12">
        <v>2000000</v>
      </c>
      <c r="I15" s="12">
        <v>1</v>
      </c>
      <c r="K15" s="12">
        <f t="shared" si="0"/>
        <v>2000000</v>
      </c>
    </row>
    <row r="16" spans="2:16" x14ac:dyDescent="0.35">
      <c r="C16" s="12">
        <v>2</v>
      </c>
      <c r="D16" s="12"/>
      <c r="E16" s="12" t="s">
        <v>25</v>
      </c>
      <c r="F16" s="12"/>
      <c r="G16" s="12">
        <v>1500000</v>
      </c>
      <c r="I16" s="12">
        <v>2</v>
      </c>
      <c r="K16" s="12">
        <f t="shared" si="0"/>
        <v>3000000</v>
      </c>
    </row>
    <row r="17" spans="3:11" x14ac:dyDescent="0.35">
      <c r="C17" s="12">
        <v>3</v>
      </c>
      <c r="D17" s="12"/>
      <c r="E17" s="12" t="s">
        <v>20</v>
      </c>
      <c r="F17" s="12"/>
      <c r="G17">
        <v>50000</v>
      </c>
      <c r="I17">
        <v>6</v>
      </c>
      <c r="K17">
        <f t="shared" si="0"/>
        <v>300000</v>
      </c>
    </row>
    <row r="18" spans="3:11" x14ac:dyDescent="0.35">
      <c r="C18" s="12">
        <v>1</v>
      </c>
      <c r="D18" s="12"/>
      <c r="E18" s="12" t="s">
        <v>17</v>
      </c>
      <c r="F18" s="12"/>
      <c r="G18">
        <v>5000000</v>
      </c>
      <c r="I18">
        <v>1</v>
      </c>
      <c r="K18">
        <f t="shared" si="0"/>
        <v>5000000</v>
      </c>
    </row>
    <row r="19" spans="3:11" x14ac:dyDescent="0.35">
      <c r="C19" s="12">
        <v>3</v>
      </c>
      <c r="D19" s="12"/>
      <c r="E19" s="12" t="s">
        <v>16</v>
      </c>
      <c r="F19" s="12"/>
      <c r="G19">
        <v>3000000</v>
      </c>
      <c r="I19">
        <v>1</v>
      </c>
      <c r="K19">
        <f t="shared" si="0"/>
        <v>3000000</v>
      </c>
    </row>
    <row r="20" spans="3:11" x14ac:dyDescent="0.35">
      <c r="C20" s="12"/>
      <c r="D20" s="12"/>
      <c r="E20" s="12"/>
      <c r="F20" s="12"/>
    </row>
    <row r="21" spans="3:11" x14ac:dyDescent="0.35">
      <c r="C21" s="12"/>
      <c r="D21" s="12"/>
      <c r="E21" s="12"/>
      <c r="F21" s="12"/>
    </row>
    <row r="22" spans="3:11" x14ac:dyDescent="0.35">
      <c r="C22" s="12"/>
      <c r="D22" s="12"/>
      <c r="E22" s="12"/>
      <c r="F22" s="12"/>
    </row>
    <row r="23" spans="3:11" x14ac:dyDescent="0.35">
      <c r="C23" s="12"/>
      <c r="D23" s="12"/>
      <c r="E23" s="12"/>
      <c r="F23" s="12"/>
    </row>
    <row r="24" spans="3:11" x14ac:dyDescent="0.35">
      <c r="C24" s="12"/>
      <c r="D24" s="12"/>
      <c r="E24" s="12"/>
      <c r="F24" s="12"/>
    </row>
    <row r="25" spans="3:11" x14ac:dyDescent="0.35">
      <c r="C25" s="12"/>
      <c r="D25" s="12"/>
      <c r="E25" s="12"/>
      <c r="F25" s="12"/>
    </row>
    <row r="26" spans="3:11" x14ac:dyDescent="0.35">
      <c r="C26" s="12"/>
      <c r="D26" s="12"/>
      <c r="E26" s="12"/>
      <c r="F26" s="12"/>
    </row>
    <row r="27" spans="3:11" x14ac:dyDescent="0.35">
      <c r="C27" s="12"/>
      <c r="D27" s="12"/>
      <c r="E27" s="12"/>
      <c r="F27" s="12"/>
    </row>
    <row r="28" spans="3:11" x14ac:dyDescent="0.35">
      <c r="C28" s="12"/>
      <c r="D28" s="12"/>
      <c r="E28" s="12"/>
      <c r="F28" s="12"/>
    </row>
    <row r="29" spans="3:11" x14ac:dyDescent="0.35">
      <c r="C29" s="12"/>
      <c r="D29" s="12"/>
      <c r="E29" s="12"/>
      <c r="F29" s="12"/>
    </row>
    <row r="30" spans="3:11" x14ac:dyDescent="0.35">
      <c r="C30" s="12"/>
      <c r="D30" s="12"/>
      <c r="E30" s="12"/>
      <c r="F30" s="12"/>
    </row>
    <row r="31" spans="3:11" x14ac:dyDescent="0.35">
      <c r="C31" s="12"/>
      <c r="D31" s="12"/>
      <c r="E31" s="12"/>
      <c r="F31" s="12"/>
    </row>
    <row r="32" spans="3:11" x14ac:dyDescent="0.35">
      <c r="C32" s="12"/>
      <c r="D32" s="12"/>
      <c r="E32" s="12"/>
      <c r="F32" s="12"/>
    </row>
    <row r="33" spans="3:6" x14ac:dyDescent="0.35">
      <c r="C33" s="12"/>
      <c r="D33" s="12"/>
      <c r="E33" s="12"/>
      <c r="F33" s="12"/>
    </row>
    <row r="34" spans="3:6" x14ac:dyDescent="0.35">
      <c r="C34" s="12"/>
      <c r="D34" s="12"/>
      <c r="E34" s="12"/>
      <c r="F34" s="12"/>
    </row>
    <row r="35" spans="3:6" x14ac:dyDescent="0.35">
      <c r="C35" s="12"/>
      <c r="D35" s="12"/>
      <c r="E35" s="12"/>
      <c r="F35" s="12"/>
    </row>
    <row r="36" spans="3:6" x14ac:dyDescent="0.35">
      <c r="C36" s="12"/>
      <c r="D36" s="12"/>
      <c r="E36" s="12"/>
      <c r="F36" s="12"/>
    </row>
    <row r="37" spans="3:6" x14ac:dyDescent="0.35">
      <c r="C37" s="12"/>
      <c r="D37" s="12"/>
      <c r="E37" s="12"/>
      <c r="F37" s="12"/>
    </row>
    <row r="38" spans="3:6" x14ac:dyDescent="0.35">
      <c r="C38" s="12"/>
      <c r="D38" s="12"/>
      <c r="E38" s="12"/>
      <c r="F38" s="12"/>
    </row>
    <row r="39" spans="3:6" x14ac:dyDescent="0.35">
      <c r="C39" s="12"/>
      <c r="D39" s="12"/>
      <c r="E39" s="12"/>
      <c r="F39" s="12"/>
    </row>
    <row r="40" spans="3:6" x14ac:dyDescent="0.35">
      <c r="C40" s="12"/>
      <c r="D40" s="12"/>
      <c r="E40" s="12"/>
      <c r="F40" s="12"/>
    </row>
    <row r="41" spans="3:6" x14ac:dyDescent="0.35">
      <c r="C41" s="12"/>
      <c r="D41" s="12"/>
      <c r="E41" s="12"/>
      <c r="F41" s="12"/>
    </row>
    <row r="42" spans="3:6" x14ac:dyDescent="0.35">
      <c r="C42" s="12"/>
      <c r="D42" s="12"/>
      <c r="E42" s="12"/>
      <c r="F42" s="12"/>
    </row>
    <row r="43" spans="3:6" x14ac:dyDescent="0.35">
      <c r="C43" s="12"/>
      <c r="D43" s="12"/>
      <c r="E43" s="12"/>
      <c r="F43" s="12"/>
    </row>
  </sheetData>
  <mergeCells count="1">
    <mergeCell ref="E2:F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2"/>
  <sheetViews>
    <sheetView showGridLines="0" tabSelected="1" topLeftCell="A2" zoomScaleNormal="100" workbookViewId="0">
      <selection activeCell="L12" sqref="L12"/>
    </sheetView>
  </sheetViews>
  <sheetFormatPr baseColWidth="10" defaultRowHeight="14.5" x14ac:dyDescent="0.35"/>
  <cols>
    <col min="9" max="9" width="14.36328125" customWidth="1"/>
    <col min="13" max="13" width="12.54296875" customWidth="1"/>
    <col min="14" max="14" width="13.54296875" customWidth="1"/>
  </cols>
  <sheetData>
    <row r="1" spans="1:14" x14ac:dyDescent="0.35">
      <c r="A1" s="2"/>
      <c r="B1" s="19"/>
      <c r="C1" s="41" t="s">
        <v>18</v>
      </c>
      <c r="D1" s="42"/>
      <c r="E1" s="42"/>
      <c r="F1" s="42"/>
      <c r="G1" s="42"/>
      <c r="H1" s="42"/>
      <c r="I1" s="42"/>
      <c r="J1" s="19"/>
      <c r="K1" s="19"/>
    </row>
    <row r="2" spans="1:14" x14ac:dyDescent="0.35">
      <c r="A2" s="2"/>
      <c r="B2" s="19"/>
      <c r="C2" s="42"/>
      <c r="D2" s="42"/>
      <c r="E2" s="42"/>
      <c r="F2" s="42"/>
      <c r="G2" s="42"/>
      <c r="H2" s="42"/>
      <c r="I2" s="42"/>
      <c r="J2" s="19"/>
      <c r="K2" s="19"/>
    </row>
    <row r="3" spans="1:14" x14ac:dyDescent="0.35">
      <c r="A3" s="2"/>
      <c r="B3" s="19"/>
      <c r="C3" s="42"/>
      <c r="D3" s="42"/>
      <c r="E3" s="42"/>
      <c r="F3" s="42"/>
      <c r="G3" s="42"/>
      <c r="H3" s="42"/>
      <c r="I3" s="42"/>
      <c r="J3" s="19"/>
      <c r="K3" s="19"/>
    </row>
    <row r="4" spans="1:14" ht="24.5" customHeight="1" x14ac:dyDescent="0.5">
      <c r="B4" s="2"/>
      <c r="C4" s="2"/>
      <c r="D4" s="2"/>
      <c r="E4" s="20"/>
      <c r="F4" s="2"/>
      <c r="G4" s="2"/>
      <c r="H4" s="2"/>
      <c r="I4" s="2"/>
    </row>
    <row r="5" spans="1:14" x14ac:dyDescent="0.35">
      <c r="B5" s="21"/>
      <c r="C5" s="21"/>
      <c r="D5" s="21"/>
      <c r="E5" s="21"/>
      <c r="F5" s="21"/>
      <c r="G5" s="2"/>
      <c r="H5" s="1"/>
      <c r="I5" s="1"/>
      <c r="J5" s="1"/>
      <c r="K5" s="1"/>
    </row>
    <row r="6" spans="1:14" ht="14.5" customHeight="1" x14ac:dyDescent="0.35">
      <c r="B6" s="21"/>
      <c r="C6" s="44" t="s">
        <v>19</v>
      </c>
      <c r="D6" s="44"/>
      <c r="E6" s="44"/>
      <c r="F6" s="21"/>
      <c r="G6" s="2"/>
      <c r="H6" s="1"/>
      <c r="I6" s="43" t="s">
        <v>22</v>
      </c>
      <c r="J6" s="43"/>
      <c r="K6" s="1"/>
      <c r="M6" s="46" t="s">
        <v>23</v>
      </c>
      <c r="N6" s="46"/>
    </row>
    <row r="7" spans="1:14" ht="14.5" customHeight="1" x14ac:dyDescent="0.35">
      <c r="B7" s="21"/>
      <c r="C7" s="44"/>
      <c r="D7" s="44"/>
      <c r="E7" s="44"/>
      <c r="F7" s="21"/>
      <c r="G7" s="2"/>
      <c r="H7" s="1"/>
      <c r="I7" s="43"/>
      <c r="J7" s="43"/>
      <c r="K7" s="1"/>
    </row>
    <row r="8" spans="1:14" ht="14.5" customHeight="1" x14ac:dyDescent="0.55000000000000004">
      <c r="B8" s="21"/>
      <c r="C8" s="22"/>
      <c r="D8" s="22"/>
      <c r="E8" s="22"/>
      <c r="F8" s="21"/>
      <c r="G8" s="2"/>
      <c r="H8" s="1"/>
      <c r="I8" s="1"/>
      <c r="J8" s="1"/>
      <c r="K8" s="1"/>
      <c r="M8">
        <f>SUMIF(Hoja3!C:C,"1",Hoja3!K:K)</f>
        <v>7600000</v>
      </c>
      <c r="N8" t="s">
        <v>11</v>
      </c>
    </row>
    <row r="9" spans="1:14" x14ac:dyDescent="0.35">
      <c r="B9" s="21"/>
      <c r="C9" s="21"/>
      <c r="D9" s="21"/>
      <c r="E9" s="21"/>
      <c r="F9" s="21"/>
      <c r="G9" s="2"/>
      <c r="H9" s="1"/>
      <c r="I9" s="1"/>
      <c r="J9" s="1"/>
      <c r="K9" s="1"/>
      <c r="M9">
        <f>SUMIF(Hoja3!C:C,"2",Hoja3!K:K)</f>
        <v>11000000</v>
      </c>
      <c r="N9" t="s">
        <v>38</v>
      </c>
    </row>
    <row r="10" spans="1:14" x14ac:dyDescent="0.35">
      <c r="B10" s="21"/>
      <c r="C10" s="21"/>
      <c r="D10" s="21"/>
      <c r="E10" s="21"/>
      <c r="F10" s="21"/>
      <c r="G10" s="2"/>
      <c r="H10" s="1"/>
      <c r="I10" s="47" t="s">
        <v>28</v>
      </c>
      <c r="J10" s="48"/>
      <c r="K10" s="1"/>
      <c r="M10">
        <f>SUMIF(Hoja3!C:C,"3",Hoja3!K:K)</f>
        <v>4300000</v>
      </c>
      <c r="N10" t="s">
        <v>13</v>
      </c>
    </row>
    <row r="11" spans="1:14" x14ac:dyDescent="0.35">
      <c r="B11" s="21"/>
      <c r="C11" s="21"/>
      <c r="D11" s="21"/>
      <c r="E11" s="21"/>
      <c r="F11" s="21"/>
      <c r="G11" s="2"/>
      <c r="H11" s="1"/>
      <c r="I11" s="23">
        <f>MAX(M8:M11)</f>
        <v>11000000</v>
      </c>
      <c r="J11" s="24"/>
      <c r="K11" s="1"/>
      <c r="M11">
        <f>SUMIF(Hoja3!C:C,"4",Hoja3!K:K)</f>
        <v>11000000</v>
      </c>
      <c r="N11" t="s">
        <v>14</v>
      </c>
    </row>
    <row r="12" spans="1:14" x14ac:dyDescent="0.35">
      <c r="B12" s="21"/>
      <c r="C12" s="21"/>
      <c r="D12" s="21"/>
      <c r="E12" s="21"/>
      <c r="F12" s="21"/>
      <c r="G12" s="2"/>
      <c r="H12" s="1"/>
      <c r="I12" s="1"/>
      <c r="J12" s="1"/>
      <c r="K12" s="1"/>
    </row>
    <row r="13" spans="1:14" x14ac:dyDescent="0.35">
      <c r="B13" s="21"/>
      <c r="C13" s="21"/>
      <c r="D13" s="21"/>
      <c r="E13" s="21"/>
      <c r="F13" s="21"/>
      <c r="G13" s="2"/>
      <c r="H13" s="1"/>
      <c r="I13" s="47" t="s">
        <v>29</v>
      </c>
      <c r="J13" s="48"/>
      <c r="K13" s="1"/>
      <c r="M13" s="26">
        <f>SUM(M8:M11)</f>
        <v>33900000</v>
      </c>
      <c r="N13" s="19" t="s">
        <v>39</v>
      </c>
    </row>
    <row r="14" spans="1:14" x14ac:dyDescent="0.35">
      <c r="B14" s="21"/>
      <c r="C14" s="21"/>
      <c r="D14" s="21"/>
      <c r="E14" s="21"/>
      <c r="F14" s="21"/>
      <c r="G14" s="2"/>
      <c r="H14" s="1"/>
      <c r="I14" s="55" t="str">
        <f>VLOOKUP(I11,M8:N11,2,FALSE)</f>
        <v xml:space="preserve">GRUPO 2 </v>
      </c>
      <c r="J14" s="54"/>
      <c r="K14" s="1"/>
    </row>
    <row r="15" spans="1:14" x14ac:dyDescent="0.35">
      <c r="B15" s="21"/>
      <c r="C15" s="21"/>
      <c r="D15" s="21"/>
      <c r="E15" s="21"/>
      <c r="F15" s="21"/>
      <c r="G15" s="2"/>
      <c r="H15" s="1"/>
      <c r="I15" s="1"/>
      <c r="J15" s="1"/>
      <c r="K15" s="1"/>
    </row>
    <row r="16" spans="1:14" x14ac:dyDescent="0.35">
      <c r="B16" s="21"/>
      <c r="C16" s="21"/>
      <c r="D16" s="21"/>
      <c r="E16" s="21"/>
      <c r="F16" s="21"/>
      <c r="G16" s="2"/>
      <c r="H16" s="1"/>
      <c r="I16" s="1"/>
      <c r="J16" s="1"/>
      <c r="K16" s="1"/>
    </row>
    <row r="17" spans="2:11" x14ac:dyDescent="0.35">
      <c r="B17" s="21"/>
      <c r="C17" s="21"/>
      <c r="D17" s="21"/>
      <c r="E17" s="21"/>
      <c r="F17" s="21"/>
      <c r="G17" s="2"/>
      <c r="H17" s="1"/>
      <c r="I17" s="47" t="s">
        <v>27</v>
      </c>
      <c r="J17" s="48"/>
      <c r="K17" s="1"/>
    </row>
    <row r="18" spans="2:11" x14ac:dyDescent="0.35">
      <c r="B18" s="21"/>
      <c r="C18" s="21"/>
      <c r="D18" s="21"/>
      <c r="E18" s="21"/>
      <c r="F18" s="21"/>
      <c r="G18" s="2"/>
      <c r="H18" s="1"/>
      <c r="I18" s="23">
        <f>(I11*2%)</f>
        <v>220000</v>
      </c>
      <c r="J18" s="24"/>
      <c r="K18" s="1"/>
    </row>
    <row r="19" spans="2:11" x14ac:dyDescent="0.35">
      <c r="B19" s="21"/>
      <c r="C19" s="21"/>
      <c r="D19" s="21"/>
      <c r="E19" s="21"/>
      <c r="F19" s="21"/>
      <c r="G19" s="2"/>
      <c r="H19" s="1"/>
      <c r="I19" s="1"/>
      <c r="J19" s="1"/>
      <c r="K19" s="1"/>
    </row>
    <row r="20" spans="2:11" x14ac:dyDescent="0.35">
      <c r="B20" s="21"/>
      <c r="C20" s="21"/>
      <c r="D20" s="21"/>
      <c r="E20" s="21"/>
      <c r="F20" s="21"/>
      <c r="G20" s="2"/>
      <c r="H20" s="1"/>
      <c r="I20" s="45" t="s">
        <v>24</v>
      </c>
      <c r="J20" s="45"/>
      <c r="K20" s="1"/>
    </row>
    <row r="21" spans="2:11" x14ac:dyDescent="0.35">
      <c r="B21" s="21"/>
      <c r="C21" s="21"/>
      <c r="D21" s="21"/>
      <c r="E21" s="21"/>
      <c r="F21" s="21"/>
      <c r="G21" s="2"/>
      <c r="H21" s="1"/>
      <c r="I21" s="55">
        <f>(I18/3)</f>
        <v>73333.333333333328</v>
      </c>
      <c r="J21" s="54"/>
      <c r="K21" s="1"/>
    </row>
    <row r="22" spans="2:11" x14ac:dyDescent="0.35">
      <c r="H22" s="1"/>
      <c r="I22" s="1"/>
      <c r="J22" s="1"/>
      <c r="K22" s="1"/>
    </row>
  </sheetData>
  <mergeCells count="10">
    <mergeCell ref="I21:J21"/>
    <mergeCell ref="C1:I3"/>
    <mergeCell ref="I6:J7"/>
    <mergeCell ref="C6:E7"/>
    <mergeCell ref="I20:J20"/>
    <mergeCell ref="M6:N6"/>
    <mergeCell ref="I10:J10"/>
    <mergeCell ref="I17:J17"/>
    <mergeCell ref="I13:J13"/>
    <mergeCell ref="I14:J14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N18"/>
  <sheetViews>
    <sheetView showGridLines="0" workbookViewId="0">
      <selection activeCell="G12" sqref="G12"/>
    </sheetView>
  </sheetViews>
  <sheetFormatPr baseColWidth="10" defaultRowHeight="14.5" x14ac:dyDescent="0.35"/>
  <sheetData>
    <row r="3" spans="2:14" x14ac:dyDescent="0.35">
      <c r="B3" s="25"/>
      <c r="C3" s="25"/>
      <c r="D3" s="25"/>
      <c r="E3" s="25"/>
      <c r="F3" s="25"/>
      <c r="G3" s="25"/>
      <c r="H3" s="25"/>
      <c r="J3" s="1"/>
      <c r="K3" s="1"/>
      <c r="L3" s="1"/>
      <c r="M3" s="1"/>
      <c r="N3" s="1"/>
    </row>
    <row r="4" spans="2:14" x14ac:dyDescent="0.35">
      <c r="B4" s="25"/>
      <c r="C4" s="49" t="s">
        <v>33</v>
      </c>
      <c r="D4" s="50"/>
      <c r="E4" s="50"/>
      <c r="F4" s="50"/>
      <c r="G4" s="50"/>
      <c r="H4" s="25"/>
      <c r="J4" s="1"/>
      <c r="K4" s="1"/>
      <c r="L4" s="1"/>
      <c r="M4" s="1"/>
      <c r="N4" s="1"/>
    </row>
    <row r="5" spans="2:14" x14ac:dyDescent="0.35">
      <c r="B5" s="25"/>
      <c r="C5" s="50"/>
      <c r="D5" s="50"/>
      <c r="E5" s="50"/>
      <c r="F5" s="50"/>
      <c r="G5" s="50"/>
      <c r="H5" s="25"/>
      <c r="J5" s="1"/>
      <c r="K5" s="2"/>
      <c r="L5" s="2"/>
      <c r="M5" s="2"/>
      <c r="N5" s="1"/>
    </row>
    <row r="6" spans="2:14" x14ac:dyDescent="0.35">
      <c r="B6" s="25"/>
      <c r="C6" s="25"/>
      <c r="D6" s="25"/>
      <c r="E6" s="25"/>
      <c r="F6" s="25"/>
      <c r="G6" s="25"/>
      <c r="H6" s="25"/>
      <c r="J6" s="1"/>
      <c r="K6" s="1"/>
      <c r="L6" s="1"/>
      <c r="M6" s="1"/>
      <c r="N6" s="1"/>
    </row>
    <row r="7" spans="2:14" x14ac:dyDescent="0.35">
      <c r="B7" s="25"/>
      <c r="C7" s="27" t="s">
        <v>11</v>
      </c>
      <c r="D7" s="27" t="s">
        <v>12</v>
      </c>
      <c r="E7" s="27" t="s">
        <v>13</v>
      </c>
      <c r="F7" s="27" t="s">
        <v>14</v>
      </c>
      <c r="G7" s="27" t="s">
        <v>32</v>
      </c>
      <c r="H7" s="25"/>
      <c r="J7" s="2"/>
      <c r="K7" s="2"/>
      <c r="L7" s="2"/>
      <c r="M7" s="2"/>
      <c r="N7" s="2"/>
    </row>
    <row r="8" spans="2:14" x14ac:dyDescent="0.35">
      <c r="B8" s="27" t="s">
        <v>34</v>
      </c>
      <c r="C8" s="28"/>
      <c r="D8" s="28"/>
      <c r="E8" s="28"/>
      <c r="F8" s="28"/>
      <c r="G8" s="28"/>
      <c r="H8" s="25"/>
    </row>
    <row r="9" spans="2:14" x14ac:dyDescent="0.35">
      <c r="B9" s="27" t="s">
        <v>35</v>
      </c>
      <c r="C9" s="28"/>
      <c r="D9" s="28"/>
      <c r="E9" s="28"/>
      <c r="F9" s="28"/>
      <c r="G9" s="28"/>
      <c r="H9" s="25"/>
      <c r="J9" s="1"/>
      <c r="K9" s="1"/>
      <c r="L9" s="1"/>
      <c r="M9" s="1"/>
      <c r="N9" s="1"/>
    </row>
    <row r="10" spans="2:14" x14ac:dyDescent="0.35">
      <c r="B10" s="27" t="s">
        <v>36</v>
      </c>
      <c r="C10" s="28"/>
      <c r="D10" s="28"/>
      <c r="E10" s="28"/>
      <c r="F10" s="28"/>
      <c r="G10" s="28"/>
      <c r="H10" s="25"/>
      <c r="J10" s="1"/>
      <c r="K10" s="1"/>
      <c r="L10" s="1"/>
      <c r="M10" s="1"/>
      <c r="N10" s="1"/>
    </row>
    <row r="11" spans="2:14" x14ac:dyDescent="0.35">
      <c r="B11" s="25"/>
      <c r="C11" s="51" t="s">
        <v>37</v>
      </c>
      <c r="D11" s="52"/>
      <c r="E11" s="52"/>
      <c r="F11" s="53"/>
      <c r="G11" s="28"/>
      <c r="H11" s="25"/>
      <c r="J11" s="1"/>
      <c r="K11" s="2"/>
      <c r="L11" s="2"/>
      <c r="M11" s="2"/>
      <c r="N11" s="1"/>
    </row>
    <row r="12" spans="2:14" x14ac:dyDescent="0.35">
      <c r="B12" s="25"/>
      <c r="C12" s="29"/>
      <c r="D12" s="29"/>
      <c r="E12" s="29"/>
      <c r="F12" s="29"/>
      <c r="G12" s="29"/>
      <c r="H12" s="25"/>
      <c r="J12" s="1"/>
      <c r="K12" s="1"/>
      <c r="L12" s="1"/>
      <c r="M12" s="1"/>
      <c r="N12" s="1"/>
    </row>
    <row r="13" spans="2:14" x14ac:dyDescent="0.35">
      <c r="B13" s="25"/>
      <c r="C13" s="29"/>
      <c r="D13" s="29"/>
      <c r="E13" s="29"/>
      <c r="F13" s="29"/>
      <c r="G13" s="29"/>
      <c r="H13" s="25"/>
    </row>
    <row r="14" spans="2:14" x14ac:dyDescent="0.35">
      <c r="B14" s="25"/>
      <c r="C14" s="25"/>
      <c r="D14" s="25"/>
      <c r="E14" s="25"/>
      <c r="F14" s="25"/>
      <c r="G14" s="25"/>
      <c r="H14" s="25"/>
    </row>
    <row r="15" spans="2:14" x14ac:dyDescent="0.35">
      <c r="B15" s="25"/>
      <c r="C15" s="25"/>
      <c r="D15" s="25"/>
      <c r="E15" s="25"/>
      <c r="F15" s="25"/>
      <c r="G15" s="25"/>
      <c r="H15" s="25"/>
      <c r="J15" s="1"/>
      <c r="K15" s="1"/>
      <c r="L15" s="1"/>
      <c r="M15" s="1"/>
      <c r="N15" s="1"/>
    </row>
    <row r="16" spans="2:14" x14ac:dyDescent="0.35">
      <c r="B16" s="25"/>
      <c r="C16" s="25"/>
      <c r="D16" s="25"/>
      <c r="E16" s="25"/>
      <c r="F16" s="25"/>
      <c r="G16" s="25"/>
      <c r="H16" s="25"/>
      <c r="J16" s="1"/>
      <c r="K16" s="1"/>
      <c r="L16" s="1"/>
      <c r="M16" s="1"/>
      <c r="N16" s="1"/>
    </row>
    <row r="17" spans="2:14" x14ac:dyDescent="0.35">
      <c r="B17" s="25"/>
      <c r="C17" s="25"/>
      <c r="D17" s="25"/>
      <c r="E17" s="25"/>
      <c r="F17" s="25"/>
      <c r="G17" s="25"/>
      <c r="H17" s="25"/>
      <c r="J17" s="1"/>
      <c r="K17" s="2"/>
      <c r="L17" s="2"/>
      <c r="M17" s="2"/>
      <c r="N17" s="1"/>
    </row>
    <row r="18" spans="2:14" x14ac:dyDescent="0.35">
      <c r="B18" s="25"/>
      <c r="C18" s="25"/>
      <c r="D18" s="25"/>
      <c r="E18" s="25"/>
      <c r="F18" s="25"/>
      <c r="G18" s="25"/>
      <c r="H18" s="25"/>
      <c r="J18" s="1"/>
      <c r="K18" s="1"/>
      <c r="L18" s="1"/>
      <c r="M18" s="1"/>
      <c r="N18" s="1"/>
    </row>
  </sheetData>
  <mergeCells count="2">
    <mergeCell ref="C4:G5"/>
    <mergeCell ref="C11:F11"/>
  </mergeCells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Hoja1</vt:lpstr>
      <vt:lpstr>Hoja2</vt:lpstr>
      <vt:lpstr>Hoja3</vt:lpstr>
      <vt:lpstr>Hoja4</vt:lpstr>
      <vt:lpstr>Hoja5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Estudiante</dc:creator>
  <cp:lastModifiedBy>Estudiante</cp:lastModifiedBy>
  <dcterms:created xsi:type="dcterms:W3CDTF">2021-02-21T23:32:06Z</dcterms:created>
  <dcterms:modified xsi:type="dcterms:W3CDTF">2021-02-22T21:30:49Z</dcterms:modified>
</cp:coreProperties>
</file>